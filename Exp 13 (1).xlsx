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EC943D1751C563/Documents/Custom Office Templates/"/>
    </mc:Choice>
  </mc:AlternateContent>
  <xr:revisionPtr revIDLastSave="0" documentId="8_{AAEEC9CF-DFF7-4F17-907A-21083D27A9E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tudent-data" sheetId="1" r:id="rId1"/>
    <sheet name="Mark-analysis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C2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P3" i="1"/>
  <c r="O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<sst xmlns="http://schemas.openxmlformats.org/spreadsheetml/2006/main" count="125" uniqueCount="86">
  <si>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</si>
  <si>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</si>
  <si>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</si>
  <si>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</si>
  <si>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</si>
  <si>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</si>
  <si>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</si>
  <si>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</si>
  <si>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</si>
  <si>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</si>
  <si>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</si>
  <si>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First-Name</t>
  </si>
  <si>
    <t>Last-Name</t>
  </si>
  <si>
    <t>Result</t>
  </si>
  <si>
    <t>Pass</t>
  </si>
  <si>
    <t>Fail</t>
  </si>
  <si>
    <t>Belongs to delhi</t>
  </si>
  <si>
    <t>Rahul Verma</t>
  </si>
  <si>
    <t>Delhi</t>
  </si>
  <si>
    <t>Math</t>
  </si>
  <si>
    <t>Science</t>
  </si>
  <si>
    <t>English</t>
  </si>
  <si>
    <t>Rahul</t>
  </si>
  <si>
    <t>Verma</t>
  </si>
  <si>
    <t>Neha Sharma</t>
  </si>
  <si>
    <t>Jaipur</t>
  </si>
  <si>
    <t>History</t>
  </si>
  <si>
    <t>Neha</t>
  </si>
  <si>
    <t>Sharma</t>
  </si>
  <si>
    <t>Aman Khan</t>
  </si>
  <si>
    <t>Lucknow</t>
  </si>
  <si>
    <t>Computer</t>
  </si>
  <si>
    <t>Aman</t>
  </si>
  <si>
    <t>Khan</t>
  </si>
  <si>
    <t>Pooja Patel</t>
  </si>
  <si>
    <t>Surat</t>
  </si>
  <si>
    <t>Hindi</t>
  </si>
  <si>
    <t>Pooja</t>
  </si>
  <si>
    <t>Patel</t>
  </si>
  <si>
    <t>Suresh Das</t>
  </si>
  <si>
    <t>Geography</t>
  </si>
  <si>
    <t>Suresh</t>
  </si>
  <si>
    <t>Das</t>
  </si>
  <si>
    <t>Ankit Singh</t>
  </si>
  <si>
    <t>Patna</t>
  </si>
  <si>
    <t>Ankit</t>
  </si>
  <si>
    <t>Singh</t>
  </si>
  <si>
    <t>Riya Gupta</t>
  </si>
  <si>
    <t>Noida</t>
  </si>
  <si>
    <t>Riya</t>
  </si>
  <si>
    <t>Gupta</t>
  </si>
  <si>
    <t>Mohit Jain</t>
  </si>
  <si>
    <t>Indore</t>
  </si>
  <si>
    <t>Mohit</t>
  </si>
  <si>
    <t>Jain</t>
  </si>
  <si>
    <t>Sneha Iyer</t>
  </si>
  <si>
    <t>Chennai</t>
  </si>
  <si>
    <t>Sneha</t>
  </si>
  <si>
    <t>Iyer</t>
  </si>
  <si>
    <t>Karan Malhotra</t>
  </si>
  <si>
    <t>Chandigarh</t>
  </si>
  <si>
    <t>Karan</t>
  </si>
  <si>
    <t>Malhotra</t>
  </si>
  <si>
    <t>Aditi Rao</t>
  </si>
  <si>
    <t>Bengaluru</t>
  </si>
  <si>
    <t>Aditi</t>
  </si>
  <si>
    <t>Rao</t>
  </si>
  <si>
    <t>Nikhil Pawar</t>
  </si>
  <si>
    <t>Pune</t>
  </si>
  <si>
    <t>Nikhil</t>
  </si>
  <si>
    <t>Pawar</t>
  </si>
  <si>
    <t>Simran Kaur</t>
  </si>
  <si>
    <t>Punjabi</t>
  </si>
  <si>
    <t>Simran</t>
  </si>
  <si>
    <t>Kaur</t>
  </si>
  <si>
    <t>Arjun Mehta</t>
  </si>
  <si>
    <t>Mumbai</t>
  </si>
  <si>
    <t>Arjun</t>
  </si>
  <si>
    <t>Mehta</t>
  </si>
  <si>
    <t>Kavya Nair</t>
  </si>
  <si>
    <t>Kochi</t>
  </si>
  <si>
    <t>Kavya</t>
  </si>
  <si>
    <t>Nair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</si>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</sst>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4-4A34-BB88-D40F607B6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4-4A34-BB88-D40F607B60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'Student-data'!$O$3:$P$3</c:f>
              <c:numCache>
                <c:formatCode>General</c:formatCode>
                <c:ptCount val="2"/>
                <c:pt idx="0">
                  <c:v>86.666666666666671</c:v>
                </c:pt>
                <c:pt idx="1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4-4A34-BB88-D40F607B60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'Student-data'!$J$1</c:f>
              <c:strCache>
                <c:ptCount val="1"/>
                <c:pt idx="0">
                  <c:v>Marks3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'Student-data'!$E$2:$I$16</c:f>
              <c:multiLvlStrCache>
                <c:ptCount val="15"/>
                <c:lvl>
                  <c:pt idx="0">
                    <c:v>English</c:v>
                  </c:pt>
                  <c:pt idx="1">
                    <c:v>Science</c:v>
                  </c:pt>
                  <c:pt idx="2">
                    <c:v>Science</c:v>
                  </c:pt>
                  <c:pt idx="3">
                    <c:v>Hindi</c:v>
                  </c:pt>
                  <c:pt idx="4">
                    <c:v>Geography</c:v>
                  </c:pt>
                  <c:pt idx="5">
                    <c:v>English</c:v>
                  </c:pt>
                  <c:pt idx="6">
                    <c:v>Computer</c:v>
                  </c:pt>
                  <c:pt idx="7">
                    <c:v>Science</c:v>
                  </c:pt>
                  <c:pt idx="8">
                    <c:v>English</c:v>
                  </c:pt>
                  <c:pt idx="9">
                    <c:v>Computer</c:v>
                  </c:pt>
                  <c:pt idx="10">
                    <c:v>Science</c:v>
                  </c:pt>
                  <c:pt idx="11">
                    <c:v>Geography</c:v>
                  </c:pt>
                  <c:pt idx="12">
                    <c:v>Science</c:v>
                  </c:pt>
                  <c:pt idx="13">
                    <c:v>English</c:v>
                  </c:pt>
                  <c:pt idx="14">
                    <c:v>English</c:v>
                  </c:pt>
                </c:lvl>
                <c:lvl>
                  <c:pt idx="0">
                    <c:v>82</c:v>
                  </c:pt>
                  <c:pt idx="1">
                    <c:v>80</c:v>
                  </c:pt>
                  <c:pt idx="2">
                    <c:v>92</c:v>
                  </c:pt>
                  <c:pt idx="3">
                    <c:v>10</c:v>
                  </c:pt>
                  <c:pt idx="4">
                    <c:v>84</c:v>
                  </c:pt>
                  <c:pt idx="5">
                    <c:v>10</c:v>
                  </c:pt>
                  <c:pt idx="6">
                    <c:v>89</c:v>
                  </c:pt>
                  <c:pt idx="7">
                    <c:v>77</c:v>
                  </c:pt>
                  <c:pt idx="8">
                    <c:v>88</c:v>
                  </c:pt>
                  <c:pt idx="9">
                    <c:v>79</c:v>
                  </c:pt>
                  <c:pt idx="10">
                    <c:v>83</c:v>
                  </c:pt>
                  <c:pt idx="11">
                    <c:v>91</c:v>
                  </c:pt>
                  <c:pt idx="12">
                    <c:v>85</c:v>
                  </c:pt>
                  <c:pt idx="13">
                    <c:v>90</c:v>
                  </c:pt>
                  <c:pt idx="14">
                    <c:v>84</c:v>
                  </c:pt>
                </c:lvl>
                <c:lvl>
                  <c:pt idx="0">
                    <c:v>Science</c:v>
                  </c:pt>
                  <c:pt idx="1">
                    <c:v>History</c:v>
                  </c:pt>
                  <c:pt idx="2">
                    <c:v>Computer</c:v>
                  </c:pt>
                  <c:pt idx="3">
                    <c:v>English</c:v>
                  </c:pt>
                  <c:pt idx="4">
                    <c:v>Math</c:v>
                  </c:pt>
                  <c:pt idx="5">
                    <c:v>Science</c:v>
                  </c:pt>
                  <c:pt idx="6">
                    <c:v>Science</c:v>
                  </c:pt>
                  <c:pt idx="7">
                    <c:v>English</c:v>
                  </c:pt>
                  <c:pt idx="8">
                    <c:v>Math</c:v>
                  </c:pt>
                  <c:pt idx="9">
                    <c:v>Science</c:v>
                  </c:pt>
                  <c:pt idx="10">
                    <c:v>History</c:v>
                  </c:pt>
                  <c:pt idx="11">
                    <c:v>Science</c:v>
                  </c:pt>
                  <c:pt idx="12">
                    <c:v>Punjabi</c:v>
                  </c:pt>
                  <c:pt idx="13">
                    <c:v>Science</c:v>
                  </c:pt>
                  <c:pt idx="14">
                    <c:v>Math</c:v>
                  </c:pt>
                </c:lvl>
                <c:lvl>
                  <c:pt idx="0">
                    <c:v>78</c:v>
                  </c:pt>
                  <c:pt idx="1">
                    <c:v>85</c:v>
                  </c:pt>
                  <c:pt idx="2">
                    <c:v>90</c:v>
                  </c:pt>
                  <c:pt idx="3">
                    <c:v>50</c:v>
                  </c:pt>
                  <c:pt idx="4">
                    <c:v>88</c:v>
                  </c:pt>
                  <c:pt idx="5">
                    <c:v>60</c:v>
                  </c:pt>
                  <c:pt idx="6">
                    <c:v>92</c:v>
                  </c:pt>
                  <c:pt idx="7">
                    <c:v>81</c:v>
                  </c:pt>
                  <c:pt idx="8">
                    <c:v>90</c:v>
                  </c:pt>
                  <c:pt idx="9">
                    <c:v>74</c:v>
                  </c:pt>
                  <c:pt idx="10">
                    <c:v>86</c:v>
                  </c:pt>
                  <c:pt idx="11">
                    <c:v>89</c:v>
                  </c:pt>
                  <c:pt idx="12">
                    <c:v>80</c:v>
                  </c:pt>
                  <c:pt idx="13">
                    <c:v>93</c:v>
                  </c:pt>
                  <c:pt idx="14">
                    <c:v>87</c:v>
                  </c:pt>
                </c:lvl>
                <c:lvl>
                  <c:pt idx="0">
                    <c:v>Math</c:v>
                  </c:pt>
                  <c:pt idx="1">
                    <c:v>English</c:v>
                  </c:pt>
                  <c:pt idx="2">
                    <c:v>Math</c:v>
                  </c:pt>
                  <c:pt idx="3">
                    <c:v>Math</c:v>
                  </c:pt>
                  <c:pt idx="4">
                    <c:v>Science</c:v>
                  </c:pt>
                  <c:pt idx="5">
                    <c:v>Math</c:v>
                  </c:pt>
                  <c:pt idx="6">
                    <c:v>English</c:v>
                  </c:pt>
                  <c:pt idx="7">
                    <c:v>Math</c:v>
                  </c:pt>
                  <c:pt idx="8">
                    <c:v>Science</c:v>
                  </c:pt>
                  <c:pt idx="9">
                    <c:v>Math</c:v>
                  </c:pt>
                  <c:pt idx="10">
                    <c:v>English</c:v>
                  </c:pt>
                  <c:pt idx="11">
                    <c:v>Math</c:v>
                  </c:pt>
                  <c:pt idx="12">
                    <c:v>English</c:v>
                  </c:pt>
                  <c:pt idx="13">
                    <c:v>Math</c:v>
                  </c:pt>
                  <c:pt idx="14">
                    <c:v>Science</c:v>
                  </c:pt>
                </c:lvl>
              </c:multiLvlStrCache>
            </c:multiLvlStrRef>
          </c:cat>
          <c:val>
            <c:numRef>
              <c:f>'Student-data'!$J$2:$J$16</c:f>
              <c:numCache>
                <c:formatCode>General</c:formatCode>
                <c:ptCount val="15"/>
                <c:pt idx="0">
                  <c:v>75</c:v>
                </c:pt>
                <c:pt idx="1">
                  <c:v>88</c:v>
                </c:pt>
                <c:pt idx="2">
                  <c:v>86</c:v>
                </c:pt>
                <c:pt idx="3">
                  <c:v>40</c:v>
                </c:pt>
                <c:pt idx="4">
                  <c:v>79</c:v>
                </c:pt>
                <c:pt idx="5">
                  <c:v>20</c:v>
                </c:pt>
                <c:pt idx="6">
                  <c:v>94</c:v>
                </c:pt>
                <c:pt idx="7">
                  <c:v>85</c:v>
                </c:pt>
                <c:pt idx="8">
                  <c:v>91</c:v>
                </c:pt>
                <c:pt idx="9">
                  <c:v>82</c:v>
                </c:pt>
                <c:pt idx="10">
                  <c:v>88</c:v>
                </c:pt>
                <c:pt idx="11">
                  <c:v>87</c:v>
                </c:pt>
                <c:pt idx="12">
                  <c:v>78</c:v>
                </c:pt>
                <c:pt idx="13">
                  <c:v>92</c:v>
                </c:pt>
                <c:pt idx="1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A-456A-9521-0CEDA4CC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134111"/>
        <c:axId val="1922150911"/>
      </c:barChart>
      <c:catAx>
        <c:axId val="19221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50911"/>
        <c:crosses val="autoZero"/>
        <c:auto val="1"/>
        <c:lblAlgn val="ctr"/>
        <c:lblOffset val="100"/>
        <c:noMultiLvlLbl val="0"/>
      </c:catAx>
      <c:valAx>
        <c:axId val="19221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3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883920</xdr:colOff>
      <xdr:row>6</xdr:row>
      <xdr:rowOff>152400</xdr:rowOff>
    </xdr:from>
    <xdr:to>
      <xdr:col>20</xdr:col>
      <xdr:colOff>533400</xdr:colOff>
      <xdr:row>26</xdr:row>
      <xdr:rowOff>91439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6EF9C-D002-16C8-30F9-92A494184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853440</xdr:colOff>
      <xdr:row>6</xdr:row>
      <xdr:rowOff>0</xdr:rowOff>
    </xdr:from>
    <xdr:to>
      <xdr:col>12</xdr:col>
      <xdr:colOff>792480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05C05-BEFB-5114-7D3D-DE4B34380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zoomScale="55" zoomScaleNormal="55" workbookViewId="0">
      <selection activeCell="E1" sqref="E1:J16"/>
    </sheetView>
  </sheetViews>
  <sheetFormatPr defaultRowHeight="20.45"/>
  <sheetData>
    <row r="1" spans="1:17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0.9">
      <c r="A2" s="2" t="s">
        <v>17</v>
      </c>
      <c r="B2" s="2">
        <v>1</v>
      </c>
      <c r="C2" s="2">
        <v>9</v>
      </c>
      <c r="D2" s="2" t="s">
        <v>18</v>
      </c>
      <c r="E2" s="2" t="s">
        <v>19</v>
      </c>
      <c r="F2" s="2">
        <v>78</v>
      </c>
      <c r="G2" s="2" t="s">
        <v>20</v>
      </c>
      <c r="H2" s="2">
        <v>82</v>
      </c>
      <c r="I2" s="2" t="s">
        <v>21</v>
      </c>
      <c r="J2" s="2">
        <v>75</v>
      </c>
      <c r="K2" s="2">
        <f>SUM(F2+H2+J2)</f>
        <v>235</v>
      </c>
      <c r="L2" t="s">
        <v>22</v>
      </c>
      <c r="M2" t="s">
        <v>23</v>
      </c>
      <c r="N2" s="2" t="str">
        <f>IF(K2&gt;=120,"Pass","Fail")</f>
        <v>Pass</v>
      </c>
      <c r="O2">
        <v>13</v>
      </c>
      <c r="P2">
        <v>2</v>
      </c>
      <c r="Q2">
        <v>3</v>
      </c>
    </row>
    <row r="3" spans="1:17" ht="40.9">
      <c r="A3" s="2" t="s">
        <v>24</v>
      </c>
      <c r="B3" s="2">
        <v>2</v>
      </c>
      <c r="C3" s="2">
        <v>9</v>
      </c>
      <c r="D3" s="2" t="s">
        <v>25</v>
      </c>
      <c r="E3" s="2" t="s">
        <v>21</v>
      </c>
      <c r="F3" s="2">
        <v>85</v>
      </c>
      <c r="G3" s="2" t="s">
        <v>26</v>
      </c>
      <c r="H3" s="2">
        <v>80</v>
      </c>
      <c r="I3" s="2" t="s">
        <v>20</v>
      </c>
      <c r="J3" s="2">
        <v>88</v>
      </c>
      <c r="K3" s="2">
        <f t="shared" ref="K3:K16" si="0">SUM(F3+H3+J3)</f>
        <v>253</v>
      </c>
      <c r="L3" t="s">
        <v>27</v>
      </c>
      <c r="M3" t="s">
        <v>28</v>
      </c>
      <c r="N3" s="2" t="str">
        <f t="shared" ref="N3:N16" si="1">IF(K3&gt;=120,"Pass","Fail")</f>
        <v>Pass</v>
      </c>
      <c r="O3">
        <f>(13/15)*100</f>
        <v>86.666666666666671</v>
      </c>
      <c r="P3">
        <f>(2/15)*100</f>
        <v>13.333333333333334</v>
      </c>
    </row>
    <row r="4" spans="1:17" ht="40.9">
      <c r="A4" s="2" t="s">
        <v>29</v>
      </c>
      <c r="B4" s="2">
        <v>3</v>
      </c>
      <c r="C4" s="2">
        <v>9</v>
      </c>
      <c r="D4" s="2" t="s">
        <v>30</v>
      </c>
      <c r="E4" s="2" t="s">
        <v>19</v>
      </c>
      <c r="F4" s="2">
        <v>90</v>
      </c>
      <c r="G4" s="2" t="s">
        <v>31</v>
      </c>
      <c r="H4" s="2">
        <v>92</v>
      </c>
      <c r="I4" s="2" t="s">
        <v>20</v>
      </c>
      <c r="J4" s="2">
        <v>86</v>
      </c>
      <c r="K4" s="2">
        <f t="shared" si="0"/>
        <v>268</v>
      </c>
      <c r="L4" t="s">
        <v>32</v>
      </c>
      <c r="M4" t="s">
        <v>33</v>
      </c>
      <c r="N4" s="2" t="str">
        <f t="shared" si="1"/>
        <v>Pass</v>
      </c>
    </row>
    <row r="5" spans="1:17" ht="40.9">
      <c r="A5" s="2" t="s">
        <v>34</v>
      </c>
      <c r="B5" s="2">
        <v>4</v>
      </c>
      <c r="C5" s="2">
        <v>9</v>
      </c>
      <c r="D5" s="2" t="s">
        <v>35</v>
      </c>
      <c r="E5" s="2" t="s">
        <v>19</v>
      </c>
      <c r="F5" s="2">
        <v>50</v>
      </c>
      <c r="G5" s="2" t="s">
        <v>21</v>
      </c>
      <c r="H5" s="2">
        <v>10</v>
      </c>
      <c r="I5" s="2" t="s">
        <v>36</v>
      </c>
      <c r="J5" s="2">
        <v>40</v>
      </c>
      <c r="K5" s="2">
        <f t="shared" si="0"/>
        <v>100</v>
      </c>
      <c r="L5" t="s">
        <v>37</v>
      </c>
      <c r="M5" t="s">
        <v>38</v>
      </c>
      <c r="N5" s="2" t="str">
        <f t="shared" si="1"/>
        <v>Fail</v>
      </c>
    </row>
    <row r="6" spans="1:17" ht="40.9">
      <c r="A6" s="2" t="s">
        <v>39</v>
      </c>
      <c r="B6" s="2">
        <v>5</v>
      </c>
      <c r="C6" s="2">
        <v>9</v>
      </c>
      <c r="D6" s="2" t="s">
        <v>18</v>
      </c>
      <c r="E6" s="2" t="s">
        <v>20</v>
      </c>
      <c r="F6" s="2">
        <v>88</v>
      </c>
      <c r="G6" s="2" t="s">
        <v>19</v>
      </c>
      <c r="H6" s="2">
        <v>84</v>
      </c>
      <c r="I6" s="2" t="s">
        <v>40</v>
      </c>
      <c r="J6" s="2">
        <v>79</v>
      </c>
      <c r="K6" s="2">
        <f t="shared" si="0"/>
        <v>251</v>
      </c>
      <c r="L6" t="s">
        <v>41</v>
      </c>
      <c r="M6" t="s">
        <v>42</v>
      </c>
      <c r="N6" s="2" t="str">
        <f t="shared" si="1"/>
        <v>Pass</v>
      </c>
    </row>
    <row r="7" spans="1:17" ht="40.9">
      <c r="A7" s="2" t="s">
        <v>43</v>
      </c>
      <c r="B7" s="2">
        <v>6</v>
      </c>
      <c r="C7" s="2">
        <v>9</v>
      </c>
      <c r="D7" s="2" t="s">
        <v>44</v>
      </c>
      <c r="E7" s="2" t="s">
        <v>19</v>
      </c>
      <c r="F7" s="2">
        <v>60</v>
      </c>
      <c r="G7" s="2" t="s">
        <v>20</v>
      </c>
      <c r="H7" s="2">
        <v>10</v>
      </c>
      <c r="I7" s="2" t="s">
        <v>21</v>
      </c>
      <c r="J7" s="2">
        <v>20</v>
      </c>
      <c r="K7" s="2">
        <f t="shared" si="0"/>
        <v>90</v>
      </c>
      <c r="L7" t="s">
        <v>45</v>
      </c>
      <c r="M7" t="s">
        <v>46</v>
      </c>
      <c r="N7" s="2" t="str">
        <f t="shared" si="1"/>
        <v>Fail</v>
      </c>
    </row>
    <row r="8" spans="1:17" ht="40.9">
      <c r="A8" s="2" t="s">
        <v>47</v>
      </c>
      <c r="B8" s="2">
        <v>7</v>
      </c>
      <c r="C8" s="2">
        <v>9</v>
      </c>
      <c r="D8" s="2" t="s">
        <v>48</v>
      </c>
      <c r="E8" s="2" t="s">
        <v>21</v>
      </c>
      <c r="F8" s="2">
        <v>92</v>
      </c>
      <c r="G8" s="2" t="s">
        <v>20</v>
      </c>
      <c r="H8" s="2">
        <v>89</v>
      </c>
      <c r="I8" s="2" t="s">
        <v>31</v>
      </c>
      <c r="J8" s="2">
        <v>94</v>
      </c>
      <c r="K8" s="2">
        <f t="shared" si="0"/>
        <v>275</v>
      </c>
      <c r="L8" t="s">
        <v>49</v>
      </c>
      <c r="M8" t="s">
        <v>50</v>
      </c>
      <c r="N8" s="2" t="str">
        <f t="shared" si="1"/>
        <v>Pass</v>
      </c>
    </row>
    <row r="9" spans="1:17">
      <c r="A9" s="2" t="s">
        <v>51</v>
      </c>
      <c r="B9" s="2">
        <v>8</v>
      </c>
      <c r="C9" s="2">
        <v>9</v>
      </c>
      <c r="D9" s="2" t="s">
        <v>52</v>
      </c>
      <c r="E9" s="2" t="s">
        <v>19</v>
      </c>
      <c r="F9" s="2">
        <v>81</v>
      </c>
      <c r="G9" s="2" t="s">
        <v>21</v>
      </c>
      <c r="H9" s="2">
        <v>77</v>
      </c>
      <c r="I9" s="2" t="s">
        <v>20</v>
      </c>
      <c r="J9" s="2">
        <v>85</v>
      </c>
      <c r="K9" s="2">
        <f t="shared" si="0"/>
        <v>243</v>
      </c>
      <c r="L9" t="s">
        <v>53</v>
      </c>
      <c r="M9" t="s">
        <v>54</v>
      </c>
      <c r="N9" s="2" t="str">
        <f t="shared" si="1"/>
        <v>Pass</v>
      </c>
    </row>
    <row r="10" spans="1:17" ht="40.9">
      <c r="A10" s="2" t="s">
        <v>55</v>
      </c>
      <c r="B10" s="2">
        <v>9</v>
      </c>
      <c r="C10" s="2">
        <v>9</v>
      </c>
      <c r="D10" s="2" t="s">
        <v>56</v>
      </c>
      <c r="E10" s="2" t="s">
        <v>20</v>
      </c>
      <c r="F10" s="2">
        <v>90</v>
      </c>
      <c r="G10" s="2" t="s">
        <v>19</v>
      </c>
      <c r="H10" s="2">
        <v>88</v>
      </c>
      <c r="I10" s="2" t="s">
        <v>21</v>
      </c>
      <c r="J10" s="2">
        <v>91</v>
      </c>
      <c r="K10" s="2">
        <f t="shared" si="0"/>
        <v>269</v>
      </c>
      <c r="L10" t="s">
        <v>57</v>
      </c>
      <c r="M10" t="s">
        <v>58</v>
      </c>
      <c r="N10" s="2" t="str">
        <f t="shared" si="1"/>
        <v>Pass</v>
      </c>
    </row>
    <row r="11" spans="1:17" ht="40.9">
      <c r="A11" s="2" t="s">
        <v>59</v>
      </c>
      <c r="B11" s="2">
        <v>10</v>
      </c>
      <c r="C11" s="2">
        <v>9</v>
      </c>
      <c r="D11" s="2" t="s">
        <v>60</v>
      </c>
      <c r="E11" s="2" t="s">
        <v>19</v>
      </c>
      <c r="F11" s="2">
        <v>74</v>
      </c>
      <c r="G11" s="2" t="s">
        <v>20</v>
      </c>
      <c r="H11" s="2">
        <v>79</v>
      </c>
      <c r="I11" s="2" t="s">
        <v>31</v>
      </c>
      <c r="J11" s="2">
        <v>82</v>
      </c>
      <c r="K11" s="2">
        <f t="shared" si="0"/>
        <v>235</v>
      </c>
      <c r="L11" t="s">
        <v>61</v>
      </c>
      <c r="M11" t="s">
        <v>62</v>
      </c>
      <c r="N11" s="2" t="str">
        <f t="shared" si="1"/>
        <v>Pass</v>
      </c>
    </row>
    <row r="12" spans="1:17">
      <c r="A12" s="2" t="s">
        <v>63</v>
      </c>
      <c r="B12" s="2">
        <v>11</v>
      </c>
      <c r="C12" s="2">
        <v>9</v>
      </c>
      <c r="D12" s="2" t="s">
        <v>64</v>
      </c>
      <c r="E12" s="2" t="s">
        <v>21</v>
      </c>
      <c r="F12" s="2">
        <v>86</v>
      </c>
      <c r="G12" s="2" t="s">
        <v>26</v>
      </c>
      <c r="H12" s="2">
        <v>83</v>
      </c>
      <c r="I12" s="2" t="s">
        <v>20</v>
      </c>
      <c r="J12" s="2">
        <v>88</v>
      </c>
      <c r="K12" s="2">
        <f t="shared" si="0"/>
        <v>257</v>
      </c>
      <c r="L12" t="s">
        <v>65</v>
      </c>
      <c r="M12" t="s">
        <v>66</v>
      </c>
      <c r="N12" s="2" t="str">
        <f t="shared" si="1"/>
        <v>Pass</v>
      </c>
    </row>
    <row r="13" spans="1:17" ht="40.9">
      <c r="A13" s="2" t="s">
        <v>67</v>
      </c>
      <c r="B13" s="2">
        <v>12</v>
      </c>
      <c r="C13" s="2">
        <v>9</v>
      </c>
      <c r="D13" s="2" t="s">
        <v>68</v>
      </c>
      <c r="E13" s="2" t="s">
        <v>19</v>
      </c>
      <c r="F13" s="2">
        <v>89</v>
      </c>
      <c r="G13" s="2" t="s">
        <v>20</v>
      </c>
      <c r="H13" s="2">
        <v>91</v>
      </c>
      <c r="I13" s="2" t="s">
        <v>40</v>
      </c>
      <c r="J13" s="2">
        <v>87</v>
      </c>
      <c r="K13" s="2">
        <f t="shared" si="0"/>
        <v>267</v>
      </c>
      <c r="L13" t="s">
        <v>69</v>
      </c>
      <c r="M13" t="s">
        <v>70</v>
      </c>
      <c r="N13" s="2" t="str">
        <f t="shared" si="1"/>
        <v>Pass</v>
      </c>
    </row>
    <row r="14" spans="1:17" ht="40.9">
      <c r="A14" s="2" t="s">
        <v>71</v>
      </c>
      <c r="B14" s="2">
        <v>13</v>
      </c>
      <c r="C14" s="2">
        <v>9</v>
      </c>
      <c r="D14" s="2" t="s">
        <v>18</v>
      </c>
      <c r="E14" s="2" t="s">
        <v>21</v>
      </c>
      <c r="F14" s="2">
        <v>80</v>
      </c>
      <c r="G14" s="2" t="s">
        <v>72</v>
      </c>
      <c r="H14" s="2">
        <v>85</v>
      </c>
      <c r="I14" s="2" t="s">
        <v>20</v>
      </c>
      <c r="J14" s="2">
        <v>78</v>
      </c>
      <c r="K14" s="2">
        <f t="shared" si="0"/>
        <v>243</v>
      </c>
      <c r="L14" t="s">
        <v>73</v>
      </c>
      <c r="M14" t="s">
        <v>74</v>
      </c>
      <c r="N14" s="2" t="str">
        <f t="shared" si="1"/>
        <v>Pass</v>
      </c>
    </row>
    <row r="15" spans="1:17" ht="40.9">
      <c r="A15" s="2" t="s">
        <v>75</v>
      </c>
      <c r="B15" s="2">
        <v>14</v>
      </c>
      <c r="C15" s="2">
        <v>9</v>
      </c>
      <c r="D15" s="2" t="s">
        <v>76</v>
      </c>
      <c r="E15" s="2" t="s">
        <v>19</v>
      </c>
      <c r="F15" s="2">
        <v>93</v>
      </c>
      <c r="G15" s="2" t="s">
        <v>20</v>
      </c>
      <c r="H15" s="2">
        <v>90</v>
      </c>
      <c r="I15" s="2" t="s">
        <v>21</v>
      </c>
      <c r="J15" s="2">
        <v>92</v>
      </c>
      <c r="K15" s="2">
        <f t="shared" si="0"/>
        <v>275</v>
      </c>
      <c r="L15" t="s">
        <v>77</v>
      </c>
      <c r="M15" t="s">
        <v>78</v>
      </c>
      <c r="N15" s="2" t="str">
        <f t="shared" si="1"/>
        <v>Pass</v>
      </c>
    </row>
    <row r="16" spans="1:17" ht="40.9">
      <c r="A16" s="2" t="s">
        <v>79</v>
      </c>
      <c r="B16" s="2">
        <v>15</v>
      </c>
      <c r="C16" s="2">
        <v>9</v>
      </c>
      <c r="D16" s="2" t="s">
        <v>80</v>
      </c>
      <c r="E16" s="2" t="s">
        <v>20</v>
      </c>
      <c r="F16" s="2">
        <v>87</v>
      </c>
      <c r="G16" s="2" t="s">
        <v>19</v>
      </c>
      <c r="H16" s="2">
        <v>84</v>
      </c>
      <c r="I16" s="2" t="s">
        <v>21</v>
      </c>
      <c r="J16" s="2">
        <v>89</v>
      </c>
      <c r="K16" s="2">
        <f t="shared" si="0"/>
        <v>260</v>
      </c>
      <c r="L16" t="s">
        <v>81</v>
      </c>
      <c r="M16" t="s">
        <v>82</v>
      </c>
      <c r="N16" s="2" t="str">
        <f t="shared" si="1"/>
        <v>Pass</v>
      </c>
    </row>
    <row r="17" spans="11:11">
      <c r="K17" s="2"/>
    </row>
  </sheetData>
  <conditionalFormatting sqref="K5">
    <cfRule type="cellIs" dxfId="2" priority="3" operator="lessThan">
      <formula>120</formula>
    </cfRule>
    <cfRule type="cellIs" dxfId="1" priority="2" operator="lessThan">
      <formula>120</formula>
    </cfRule>
  </conditionalFormatting>
  <conditionalFormatting sqref="K7">
    <cfRule type="cellIs" dxfId="0" priority="1" operator="lessThan">
      <formula>120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" sqref="C2:C16"/>
    </sheetView>
  </sheetViews>
  <sheetFormatPr defaultRowHeight="20.45"/>
  <sheetData>
    <row r="1" spans="1:3">
      <c r="A1" t="s">
        <v>83</v>
      </c>
      <c r="B1" t="s">
        <v>84</v>
      </c>
      <c r="C1" t="s">
        <v>85</v>
      </c>
    </row>
    <row r="2" spans="1:3">
      <c r="A2">
        <f>AVERAGE('Student-data'!F2,'Student-data'!H2,'Student-data'!J2)</f>
        <v>78.333333333333329</v>
      </c>
      <c r="B2">
        <f>MAX('Student-data'!F2,'Student-data'!H2,'Student-data'!J2)</f>
        <v>82</v>
      </c>
      <c r="C2">
        <f>MIN('Student-data'!F2,'Student-data'!H2,'Student-data'!J2)</f>
        <v>75</v>
      </c>
    </row>
    <row r="3" spans="1:3">
      <c r="A3">
        <f>AVERAGE('Student-data'!F3,'Student-data'!H3,'Student-data'!J3)</f>
        <v>84.333333333333329</v>
      </c>
      <c r="B3">
        <f>MAX('Student-data'!F3,'Student-data'!H3,'Student-data'!J3)</f>
        <v>88</v>
      </c>
      <c r="C3">
        <f>MIN('Student-data'!F3,'Student-data'!H3,'Student-data'!J3)</f>
        <v>80</v>
      </c>
    </row>
    <row r="4" spans="1:3">
      <c r="A4">
        <f>AVERAGE('Student-data'!F4,'Student-data'!H4,'Student-data'!J4)</f>
        <v>89.333333333333329</v>
      </c>
      <c r="B4">
        <f>MAX('Student-data'!F4,'Student-data'!H4,'Student-data'!J4)</f>
        <v>92</v>
      </c>
      <c r="C4">
        <f>MIN('Student-data'!F4,'Student-data'!H4,'Student-data'!J4)</f>
        <v>86</v>
      </c>
    </row>
    <row r="5" spans="1:3">
      <c r="A5">
        <f>AVERAGE('Student-data'!F5,'Student-data'!H5,'Student-data'!J5)</f>
        <v>33.333333333333336</v>
      </c>
      <c r="B5">
        <f>MAX('Student-data'!F5,'Student-data'!H5,'Student-data'!J5)</f>
        <v>50</v>
      </c>
      <c r="C5">
        <f>MIN('Student-data'!F5,'Student-data'!H5,'Student-data'!J5)</f>
        <v>10</v>
      </c>
    </row>
    <row r="6" spans="1:3">
      <c r="A6">
        <f>AVERAGE('Student-data'!F6,'Student-data'!H6,'Student-data'!J6)</f>
        <v>83.666666666666671</v>
      </c>
      <c r="B6">
        <f>MAX('Student-data'!F6,'Student-data'!H6,'Student-data'!J6)</f>
        <v>88</v>
      </c>
      <c r="C6">
        <f>MIN('Student-data'!F6,'Student-data'!H6,'Student-data'!J6)</f>
        <v>79</v>
      </c>
    </row>
    <row r="7" spans="1:3">
      <c r="A7">
        <f>AVERAGE('Student-data'!F7,'Student-data'!H7,'Student-data'!J7)</f>
        <v>30</v>
      </c>
      <c r="B7">
        <f>MAX('Student-data'!F7,'Student-data'!H7,'Student-data'!J7)</f>
        <v>60</v>
      </c>
      <c r="C7">
        <f>MIN('Student-data'!F7,'Student-data'!H7,'Student-data'!J7)</f>
        <v>10</v>
      </c>
    </row>
    <row r="8" spans="1:3">
      <c r="A8">
        <f>AVERAGE('Student-data'!F8,'Student-data'!H8,'Student-data'!J8)</f>
        <v>91.666666666666671</v>
      </c>
      <c r="B8">
        <f>MAX('Student-data'!F8,'Student-data'!H8,'Student-data'!J8)</f>
        <v>94</v>
      </c>
      <c r="C8">
        <f>MIN('Student-data'!F8,'Student-data'!H8,'Student-data'!J8)</f>
        <v>89</v>
      </c>
    </row>
    <row r="9" spans="1:3">
      <c r="A9">
        <f>AVERAGE('Student-data'!F9,'Student-data'!H9,'Student-data'!J9)</f>
        <v>81</v>
      </c>
      <c r="B9">
        <f>MAX('Student-data'!F9,'Student-data'!H9,'Student-data'!J9)</f>
        <v>85</v>
      </c>
      <c r="C9">
        <f>MIN('Student-data'!F9,'Student-data'!H9,'Student-data'!J9)</f>
        <v>77</v>
      </c>
    </row>
    <row r="10" spans="1:3">
      <c r="A10">
        <f>AVERAGE('Student-data'!F10,'Student-data'!H10,'Student-data'!J10)</f>
        <v>89.666666666666671</v>
      </c>
      <c r="B10">
        <f>MAX('Student-data'!F10,'Student-data'!H10,'Student-data'!J10)</f>
        <v>91</v>
      </c>
      <c r="C10">
        <f>MIN('Student-data'!F10,'Student-data'!H10,'Student-data'!J10)</f>
        <v>88</v>
      </c>
    </row>
    <row r="11" spans="1:3">
      <c r="A11">
        <f>AVERAGE('Student-data'!F11,'Student-data'!H11,'Student-data'!J11)</f>
        <v>78.333333333333329</v>
      </c>
      <c r="B11">
        <f>MAX('Student-data'!F11,'Student-data'!H11,'Student-data'!J11)</f>
        <v>82</v>
      </c>
      <c r="C11">
        <f>MIN('Student-data'!F11,'Student-data'!H11,'Student-data'!J11)</f>
        <v>74</v>
      </c>
    </row>
    <row r="12" spans="1:3">
      <c r="A12">
        <f>AVERAGE('Student-data'!F12,'Student-data'!H12,'Student-data'!J12)</f>
        <v>85.666666666666671</v>
      </c>
      <c r="B12">
        <f>MAX('Student-data'!F12,'Student-data'!H12,'Student-data'!J12)</f>
        <v>88</v>
      </c>
      <c r="C12">
        <f>MIN('Student-data'!F12,'Student-data'!H12,'Student-data'!J12)</f>
        <v>83</v>
      </c>
    </row>
    <row r="13" spans="1:3">
      <c r="A13">
        <f>AVERAGE('Student-data'!F13,'Student-data'!H13,'Student-data'!J13)</f>
        <v>89</v>
      </c>
      <c r="B13">
        <f>MAX('Student-data'!F13,'Student-data'!H13,'Student-data'!J13)</f>
        <v>91</v>
      </c>
      <c r="C13">
        <f>MIN('Student-data'!F13,'Student-data'!H13,'Student-data'!J13)</f>
        <v>87</v>
      </c>
    </row>
    <row r="14" spans="1:3">
      <c r="A14">
        <f>AVERAGE('Student-data'!F14,'Student-data'!H14,'Student-data'!J14)</f>
        <v>81</v>
      </c>
      <c r="B14">
        <f>MAX('Student-data'!F14,'Student-data'!H14,'Student-data'!J14)</f>
        <v>85</v>
      </c>
      <c r="C14">
        <f>MIN('Student-data'!F14,'Student-data'!H14,'Student-data'!J14)</f>
        <v>78</v>
      </c>
    </row>
    <row r="15" spans="1:3">
      <c r="A15">
        <f>AVERAGE('Student-data'!F15,'Student-data'!H15,'Student-data'!J15)</f>
        <v>91.666666666666671</v>
      </c>
      <c r="B15">
        <f>MAX('Student-data'!F15,'Student-data'!H15,'Student-data'!J15)</f>
        <v>93</v>
      </c>
      <c r="C15">
        <f>MIN('Student-data'!F15,'Student-data'!H15,'Student-data'!J15)</f>
        <v>90</v>
      </c>
    </row>
    <row r="16" spans="1:3">
      <c r="A16">
        <f>AVERAGE('Student-data'!F16,'Student-data'!H16,'Student-data'!J16)</f>
        <v>86.666666666666671</v>
      </c>
      <c r="B16">
        <f>MAX('Student-data'!F16,'Student-data'!H16,'Student-data'!J16)</f>
        <v>89</v>
      </c>
      <c r="C16">
        <f>MIN('Student-data'!F16,'Student-data'!H16,'Student-data'!J16)</f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zoomScale="50" workbookViewId="0">
      <selection activeCell="K32" sqref="K32"/>
    </sheetView>
  </sheetViews>
  <sheetFormatPr defaultRowHeight="2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Guest User</cp:lastModifiedBy>
  <cp:revision/>
  <dcterms:created xsi:type="dcterms:W3CDTF">2025-12-21T10:26:24Z</dcterms:created>
  <dcterms:modified xsi:type="dcterms:W3CDTF">2026-01-03T09:26:01Z</dcterms:modified>
  <cp:category/>
  <cp:contentStatus/>
</cp:coreProperties>
</file>